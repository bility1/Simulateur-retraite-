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mfarah\Desktop\SI Retraite\FINALE\simulateur\"/>
    </mc:Choice>
  </mc:AlternateContent>
  <bookViews>
    <workbookView xWindow="0" yWindow="0" windowWidth="19200" windowHeight="6180" firstSheet="3" activeTab="4"/>
  </bookViews>
  <sheets>
    <sheet name="Formulaire" sheetId="1" r:id="rId1"/>
    <sheet name="Données" sheetId="2" r:id="rId2"/>
    <sheet name="Taux_pleins_sans_conditions" sheetId="4" r:id="rId3"/>
    <sheet name="Taux_pleins_handicap" sheetId="5" r:id="rId4"/>
    <sheet name="Taux_pleins_carriere_longue" sheetId="6" r:id="rId5"/>
    <sheet name="Retraités" sheetId="3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4" l="1"/>
</calcChain>
</file>

<file path=xl/sharedStrings.xml><?xml version="1.0" encoding="utf-8"?>
<sst xmlns="http://schemas.openxmlformats.org/spreadsheetml/2006/main" count="135" uniqueCount="42">
  <si>
    <t>Professions</t>
  </si>
  <si>
    <t>Autres personnes sans activité professionnelle</t>
  </si>
  <si>
    <t>Agriculteurs exploitants</t>
  </si>
  <si>
    <t>Artisans, commerçants et chefs d’entreprise</t>
  </si>
  <si>
    <t>Cadres et professions intellectuelles supérieures</t>
  </si>
  <si>
    <t>Professions intermédiaires</t>
  </si>
  <si>
    <t>Employés</t>
  </si>
  <si>
    <t>Ouvriers</t>
  </si>
  <si>
    <t>Date de naissance</t>
  </si>
  <si>
    <t>Etat civil</t>
  </si>
  <si>
    <t>Enfants</t>
  </si>
  <si>
    <t>Métiers</t>
  </si>
  <si>
    <t>Handicap</t>
  </si>
  <si>
    <t>travail a l'etranger</t>
  </si>
  <si>
    <t>SAM</t>
  </si>
  <si>
    <t>Trimestre</t>
  </si>
  <si>
    <t>Date de depart</t>
  </si>
  <si>
    <t>Pays</t>
  </si>
  <si>
    <t>Age</t>
  </si>
  <si>
    <t>ANNEE DE NAISSANCE</t>
  </si>
  <si>
    <t xml:space="preserve">AGE LEGAL AU PLUS TOT </t>
  </si>
  <si>
    <t>DUREE DE REFERENCE</t>
  </si>
  <si>
    <t>AGE D'ATTRIBUTION AUTOMATIQUE DU TAUX PLEIN</t>
  </si>
  <si>
    <t>60, 4</t>
  </si>
  <si>
    <t>65, 4</t>
  </si>
  <si>
    <t>60, 9</t>
  </si>
  <si>
    <t>61, 2</t>
  </si>
  <si>
    <t>66, 2</t>
  </si>
  <si>
    <t>ANNEE_DEPART</t>
  </si>
  <si>
    <t>ANNEE_FIN</t>
  </si>
  <si>
    <t xml:space="preserve">DEPART ANTICIPE A PARTIR DE </t>
  </si>
  <si>
    <t>DUREE TOTALE D'ASSURANCE</t>
  </si>
  <si>
    <t>DUREE D'ASSURANCE COTISEE</t>
  </si>
  <si>
    <t xml:space="preserve">DEPART POSSIBLE </t>
  </si>
  <si>
    <t>DUREE COTISEE</t>
  </si>
  <si>
    <t>JUSTIFIEZ DE 5 TRIMESTRES AVANT LA FIN DE L'ANNEE CIVILE DE VOS (ans)</t>
  </si>
  <si>
    <t>Célibataire</t>
  </si>
  <si>
    <t>Marié(e)</t>
  </si>
  <si>
    <t>Divorcé(e)</t>
  </si>
  <si>
    <t>Carriere longue</t>
  </si>
  <si>
    <t>Pacsé(e)</t>
  </si>
  <si>
    <t>Trimestres cotisés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</si>
</sst>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"/>
    <numFmt numFmtId="165" formatCode="0.0"/>
  </numFmts>
  <fonts count="2" x14ac:knownFonts="1">
    <font>
      <sz val="11"/>
      <color theme="1"/>
      <name val="Calibri"/>
      <family val="2"/>
      <scheme val="minor"/>
    </font>
    <font>
      <sz val="10.5"/>
      <color rgb="FF3C404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1" fillId="0" borderId="0" xfId="0" applyFont="1" applyAlignment="1">
      <alignment vertical="center"/>
    </xf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3" xfId="0" applyBorder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1" xfId="0" applyBorder="1" applyAlignment="1"/>
    <xf numFmtId="0" fontId="0" fillId="0" borderId="6" xfId="0" applyBorder="1" applyAlignment="1"/>
    <xf numFmtId="0" fontId="0" fillId="0" borderId="0" xfId="0" applyNumberFormat="1"/>
    <xf numFmtId="14" fontId="0" fillId="3" borderId="0" xfId="0" applyNumberFormat="1" applyFill="1"/>
    <xf numFmtId="14" fontId="0" fillId="0" borderId="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2"/>
  <sheetViews>
    <sheetView workbookViewId="0">
      <selection activeCell="B1" sqref="B1:K1"/>
    </sheetView>
  </sheetViews>
  <sheetFormatPr baseColWidth="10" defaultRowHeight="14.5" x14ac:dyDescent="0.35"/>
  <cols>
    <col min="2" max="2" width="21.81640625" customWidth="1"/>
    <col min="3" max="3" width="21.1796875" customWidth="1"/>
    <col min="7" max="7" width="20.453125" customWidth="1"/>
    <col min="10" max="10" width="21.54296875" customWidth="1"/>
  </cols>
  <sheetData>
    <row r="1" spans="1:11" x14ac:dyDescent="0.35">
      <c r="A1" s="3"/>
      <c r="B1" s="9"/>
      <c r="C1" s="9"/>
      <c r="D1" s="9"/>
      <c r="E1" s="9"/>
      <c r="F1" s="9"/>
      <c r="G1" s="9"/>
      <c r="H1" s="9"/>
      <c r="I1" s="9"/>
      <c r="J1" s="9"/>
      <c r="K1" s="9"/>
    </row>
    <row r="2" spans="1:11" x14ac:dyDescent="0.35">
      <c r="A2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J8"/>
  <sheetViews>
    <sheetView workbookViewId="0">
      <selection activeCell="E1" sqref="E1"/>
    </sheetView>
  </sheetViews>
  <sheetFormatPr baseColWidth="10" defaultRowHeight="14.5" x14ac:dyDescent="0.35"/>
  <cols>
    <col min="2" max="2" width="42.1796875" customWidth="1"/>
  </cols>
  <sheetData>
    <row r="1" spans="2:10" x14ac:dyDescent="0.35">
      <c r="B1" s="1" t="s">
        <v>0</v>
      </c>
      <c r="E1" s="7"/>
    </row>
    <row r="2" spans="2:10" x14ac:dyDescent="0.35">
      <c r="B2" s="2" t="s">
        <v>2</v>
      </c>
      <c r="E2" s="3"/>
      <c r="F2" s="3"/>
      <c r="G2" s="5"/>
      <c r="H2" s="6"/>
    </row>
    <row r="3" spans="2:10" x14ac:dyDescent="0.35">
      <c r="B3" s="2" t="s">
        <v>3</v>
      </c>
      <c r="G3" s="6"/>
    </row>
    <row r="4" spans="2:10" x14ac:dyDescent="0.35">
      <c r="B4" s="2" t="s">
        <v>4</v>
      </c>
    </row>
    <row r="5" spans="2:10" x14ac:dyDescent="0.35">
      <c r="B5" s="2" t="s">
        <v>5</v>
      </c>
    </row>
    <row r="6" spans="2:10" x14ac:dyDescent="0.35">
      <c r="B6" s="2" t="s">
        <v>6</v>
      </c>
      <c r="F6" s="4"/>
      <c r="J6" s="6"/>
    </row>
    <row r="7" spans="2:10" x14ac:dyDescent="0.35">
      <c r="B7" s="2" t="s">
        <v>7</v>
      </c>
    </row>
    <row r="8" spans="2:10" x14ac:dyDescent="0.35">
      <c r="B8" s="2" t="s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13"/>
  <sheetViews>
    <sheetView workbookViewId="0">
      <selection activeCell="E4" sqref="E4"/>
    </sheetView>
  </sheetViews>
  <sheetFormatPr baseColWidth="10" defaultRowHeight="14.5" x14ac:dyDescent="0.35"/>
  <cols>
    <col min="1" max="1" width="18.54296875" customWidth="1"/>
    <col min="2" max="2" width="20.54296875" customWidth="1"/>
    <col min="3" max="3" width="22.26953125" customWidth="1"/>
    <col min="4" max="4" width="19.81640625" customWidth="1"/>
    <col min="5" max="5" width="43.81640625" customWidth="1"/>
  </cols>
  <sheetData>
    <row r="1" spans="1:5" x14ac:dyDescent="0.35">
      <c r="A1" s="1" t="s">
        <v>28</v>
      </c>
      <c r="B1" s="1" t="s">
        <v>29</v>
      </c>
      <c r="C1" s="1" t="s">
        <v>20</v>
      </c>
      <c r="D1" s="1" t="s">
        <v>21</v>
      </c>
      <c r="E1" s="1" t="s">
        <v>22</v>
      </c>
    </row>
    <row r="2" spans="1:5" ht="23.5" customHeight="1" x14ac:dyDescent="0.35">
      <c r="A2" s="12">
        <v>18629</v>
      </c>
      <c r="B2" s="12">
        <v>18809</v>
      </c>
      <c r="C2" s="13">
        <v>60</v>
      </c>
      <c r="D2" s="13">
        <v>163</v>
      </c>
      <c r="E2" s="13">
        <v>65</v>
      </c>
    </row>
    <row r="3" spans="1:5" ht="26.5" customHeight="1" x14ac:dyDescent="0.35">
      <c r="A3" s="12">
        <v>18810</v>
      </c>
      <c r="B3" s="12">
        <v>18993</v>
      </c>
      <c r="C3" s="13" t="s">
        <v>23</v>
      </c>
      <c r="D3" s="13">
        <v>163</v>
      </c>
      <c r="E3" s="13" t="s">
        <v>24</v>
      </c>
    </row>
    <row r="4" spans="1:5" ht="24" customHeight="1" x14ac:dyDescent="0.35">
      <c r="A4" s="12">
        <v>18994</v>
      </c>
      <c r="B4" s="12">
        <v>19359</v>
      </c>
      <c r="C4" s="13" t="s">
        <v>25</v>
      </c>
      <c r="D4" s="13">
        <v>164</v>
      </c>
      <c r="E4" s="13">
        <v>65.900000000000006</v>
      </c>
    </row>
    <row r="5" spans="1:5" ht="31.5" customHeight="1" x14ac:dyDescent="0.35">
      <c r="A5" s="12">
        <v>19360</v>
      </c>
      <c r="B5" s="14">
        <v>19724</v>
      </c>
      <c r="C5" s="13" t="s">
        <v>26</v>
      </c>
      <c r="D5" s="13">
        <v>165</v>
      </c>
      <c r="E5" s="13" t="s">
        <v>27</v>
      </c>
    </row>
    <row r="6" spans="1:5" ht="27" customHeight="1" x14ac:dyDescent="0.35">
      <c r="A6" s="12">
        <v>19725</v>
      </c>
      <c r="B6" s="12">
        <v>20089</v>
      </c>
      <c r="C6" s="13">
        <v>61.7</v>
      </c>
      <c r="D6" s="13">
        <v>165</v>
      </c>
      <c r="E6" s="13">
        <v>66.7</v>
      </c>
    </row>
    <row r="7" spans="1:5" ht="28.5" customHeight="1" x14ac:dyDescent="0.35">
      <c r="A7" s="12">
        <v>20090</v>
      </c>
      <c r="B7" s="12">
        <v>21185</v>
      </c>
      <c r="C7" s="13">
        <v>62</v>
      </c>
      <c r="D7" s="13">
        <v>166</v>
      </c>
      <c r="E7" s="13">
        <v>67</v>
      </c>
    </row>
    <row r="8" spans="1:5" ht="25" customHeight="1" x14ac:dyDescent="0.35">
      <c r="A8" s="12">
        <v>21186</v>
      </c>
      <c r="B8" s="12">
        <v>22281</v>
      </c>
      <c r="C8" s="13">
        <v>62</v>
      </c>
      <c r="D8" s="13">
        <v>167</v>
      </c>
      <c r="E8" s="13">
        <v>67</v>
      </c>
    </row>
    <row r="9" spans="1:5" ht="25" customHeight="1" x14ac:dyDescent="0.35">
      <c r="A9" s="12">
        <v>22282</v>
      </c>
      <c r="B9" s="12">
        <v>23376</v>
      </c>
      <c r="C9" s="13">
        <v>62</v>
      </c>
      <c r="D9" s="13">
        <v>168</v>
      </c>
      <c r="E9" s="13">
        <v>67</v>
      </c>
    </row>
    <row r="10" spans="1:5" ht="25" customHeight="1" x14ac:dyDescent="0.35">
      <c r="A10" s="12">
        <v>23377</v>
      </c>
      <c r="B10" s="12">
        <v>24472</v>
      </c>
      <c r="C10" s="13">
        <v>62</v>
      </c>
      <c r="D10" s="13">
        <v>169</v>
      </c>
      <c r="E10" s="13">
        <v>67</v>
      </c>
    </row>
    <row r="11" spans="1:5" ht="25" customHeight="1" x14ac:dyDescent="0.35">
      <c r="A11" s="12">
        <v>24473</v>
      </c>
      <c r="B11" s="12">
        <v>25568</v>
      </c>
      <c r="C11" s="13">
        <v>62</v>
      </c>
      <c r="D11" s="13">
        <v>170</v>
      </c>
      <c r="E11" s="13">
        <v>67</v>
      </c>
    </row>
    <row r="12" spans="1:5" ht="25.5" customHeight="1" x14ac:dyDescent="0.35">
      <c r="A12" s="12">
        <v>25569</v>
      </c>
      <c r="B12" s="12">
        <v>26664</v>
      </c>
      <c r="C12" s="13">
        <v>62</v>
      </c>
      <c r="D12" s="13">
        <v>171</v>
      </c>
      <c r="E12" s="13">
        <v>67</v>
      </c>
    </row>
    <row r="13" spans="1:5" ht="22" customHeight="1" x14ac:dyDescent="0.35">
      <c r="A13" s="14">
        <v>26665</v>
      </c>
      <c r="B13" s="14">
        <f ca="1" xml:space="preserve"> TODAY()</f>
        <v>44147</v>
      </c>
      <c r="C13" s="13">
        <v>62</v>
      </c>
      <c r="D13" s="13">
        <v>172</v>
      </c>
      <c r="E13" s="13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16"/>
  <sheetViews>
    <sheetView workbookViewId="0">
      <selection activeCell="E9" sqref="E9"/>
    </sheetView>
  </sheetViews>
  <sheetFormatPr baseColWidth="10" defaultRowHeight="14.5" x14ac:dyDescent="0.35"/>
  <cols>
    <col min="1" max="1" width="20.54296875" customWidth="1"/>
    <col min="2" max="2" width="22.54296875" customWidth="1"/>
    <col min="3" max="3" width="30.54296875" customWidth="1"/>
    <col min="4" max="4" width="29.453125" customWidth="1"/>
    <col min="5" max="5" width="31.453125" customWidth="1"/>
  </cols>
  <sheetData>
    <row r="1" spans="1:5" x14ac:dyDescent="0.35">
      <c r="A1" s="11" t="s">
        <v>28</v>
      </c>
      <c r="B1" s="11" t="s">
        <v>29</v>
      </c>
      <c r="C1" s="11" t="s">
        <v>30</v>
      </c>
      <c r="D1" s="11" t="s">
        <v>31</v>
      </c>
      <c r="E1" s="11" t="s">
        <v>32</v>
      </c>
    </row>
    <row r="2" spans="1:5" x14ac:dyDescent="0.35">
      <c r="A2" s="33">
        <v>20455</v>
      </c>
      <c r="B2" s="30">
        <v>21185</v>
      </c>
      <c r="C2" s="22">
        <v>55</v>
      </c>
      <c r="D2" s="22">
        <v>126</v>
      </c>
      <c r="E2" s="23">
        <v>106</v>
      </c>
    </row>
    <row r="3" spans="1:5" x14ac:dyDescent="0.35">
      <c r="A3" s="34"/>
      <c r="B3" s="31"/>
      <c r="C3" s="24">
        <v>56</v>
      </c>
      <c r="D3" s="24">
        <v>116</v>
      </c>
      <c r="E3" s="25">
        <v>96</v>
      </c>
    </row>
    <row r="4" spans="1:5" x14ac:dyDescent="0.35">
      <c r="A4" s="34"/>
      <c r="B4" s="31"/>
      <c r="C4" s="24">
        <v>57</v>
      </c>
      <c r="D4" s="24">
        <v>106</v>
      </c>
      <c r="E4" s="25">
        <v>86</v>
      </c>
    </row>
    <row r="5" spans="1:5" x14ac:dyDescent="0.35">
      <c r="A5" s="34"/>
      <c r="B5" s="31"/>
      <c r="C5" s="24">
        <v>58</v>
      </c>
      <c r="D5" s="24">
        <v>96</v>
      </c>
      <c r="E5" s="25">
        <v>76</v>
      </c>
    </row>
    <row r="6" spans="1:5" x14ac:dyDescent="0.35">
      <c r="A6" s="35"/>
      <c r="B6" s="32"/>
      <c r="C6" s="26">
        <v>59</v>
      </c>
      <c r="D6" s="26">
        <v>86</v>
      </c>
      <c r="E6" s="27">
        <v>66</v>
      </c>
    </row>
    <row r="7" spans="1:5" x14ac:dyDescent="0.35">
      <c r="A7" s="30">
        <v>21186</v>
      </c>
      <c r="B7" s="36">
        <v>22281</v>
      </c>
      <c r="C7" s="15">
        <v>55</v>
      </c>
      <c r="D7" s="15">
        <v>127</v>
      </c>
      <c r="E7" s="15">
        <v>107</v>
      </c>
    </row>
    <row r="8" spans="1:5" x14ac:dyDescent="0.35">
      <c r="A8" s="36"/>
      <c r="B8" s="38"/>
      <c r="C8" s="15">
        <v>56</v>
      </c>
      <c r="D8" s="15">
        <v>117</v>
      </c>
      <c r="E8" s="15">
        <v>97</v>
      </c>
    </row>
    <row r="9" spans="1:5" x14ac:dyDescent="0.35">
      <c r="A9" s="36"/>
      <c r="B9" s="38"/>
      <c r="C9" s="15">
        <v>57</v>
      </c>
      <c r="D9" s="15">
        <v>107</v>
      </c>
      <c r="E9" s="15">
        <v>87</v>
      </c>
    </row>
    <row r="10" spans="1:5" x14ac:dyDescent="0.35">
      <c r="A10" s="36"/>
      <c r="B10" s="38"/>
      <c r="C10" s="15">
        <v>58</v>
      </c>
      <c r="D10" s="15">
        <v>97</v>
      </c>
      <c r="E10" s="15">
        <v>77</v>
      </c>
    </row>
    <row r="11" spans="1:5" x14ac:dyDescent="0.35">
      <c r="A11" s="37"/>
      <c r="B11" s="38"/>
      <c r="C11" s="15">
        <v>59</v>
      </c>
      <c r="D11" s="15">
        <v>87</v>
      </c>
      <c r="E11" s="15">
        <v>67</v>
      </c>
    </row>
    <row r="12" spans="1:5" x14ac:dyDescent="0.35">
      <c r="A12" s="33">
        <v>22282</v>
      </c>
      <c r="B12" s="30">
        <v>23376</v>
      </c>
      <c r="C12" s="22">
        <v>55</v>
      </c>
      <c r="D12" s="22">
        <v>128</v>
      </c>
      <c r="E12" s="23">
        <v>108</v>
      </c>
    </row>
    <row r="13" spans="1:5" x14ac:dyDescent="0.35">
      <c r="A13" s="34"/>
      <c r="B13" s="31"/>
      <c r="C13" s="24">
        <v>56</v>
      </c>
      <c r="D13" s="24">
        <v>118</v>
      </c>
      <c r="E13" s="25">
        <v>98</v>
      </c>
    </row>
    <row r="14" spans="1:5" x14ac:dyDescent="0.35">
      <c r="A14" s="34"/>
      <c r="B14" s="31"/>
      <c r="C14" s="24">
        <v>57</v>
      </c>
      <c r="D14" s="24">
        <v>109</v>
      </c>
      <c r="E14" s="25">
        <v>88</v>
      </c>
    </row>
    <row r="15" spans="1:5" x14ac:dyDescent="0.35">
      <c r="A15" s="34"/>
      <c r="B15" s="31"/>
      <c r="C15" s="24">
        <v>58</v>
      </c>
      <c r="D15" s="24">
        <v>98</v>
      </c>
      <c r="E15" s="25">
        <v>78</v>
      </c>
    </row>
    <row r="16" spans="1:5" x14ac:dyDescent="0.35">
      <c r="A16" s="35"/>
      <c r="B16" s="32"/>
      <c r="C16" s="26">
        <v>59</v>
      </c>
      <c r="D16" s="26">
        <v>88</v>
      </c>
      <c r="E16" s="27">
        <v>68</v>
      </c>
    </row>
  </sheetData>
  <mergeCells count="6">
    <mergeCell ref="B2:B6"/>
    <mergeCell ref="A2:A6"/>
    <mergeCell ref="A7:A11"/>
    <mergeCell ref="B7:B11"/>
    <mergeCell ref="A12:A16"/>
    <mergeCell ref="B12:B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tabSelected="1" workbookViewId="0">
      <selection activeCell="C10" sqref="C10"/>
    </sheetView>
  </sheetViews>
  <sheetFormatPr baseColWidth="10" defaultRowHeight="14.5" x14ac:dyDescent="0.35"/>
  <cols>
    <col min="1" max="1" width="22" customWidth="1"/>
    <col min="2" max="2" width="16.453125" customWidth="1"/>
    <col min="3" max="3" width="64.54296875" customWidth="1"/>
    <col min="4" max="4" width="16.7265625" customWidth="1"/>
  </cols>
  <sheetData>
    <row r="1" spans="1:4" x14ac:dyDescent="0.35">
      <c r="A1" s="10" t="s">
        <v>19</v>
      </c>
      <c r="B1" s="10" t="s">
        <v>33</v>
      </c>
      <c r="C1" s="10" t="s">
        <v>35</v>
      </c>
      <c r="D1" s="10" t="s">
        <v>34</v>
      </c>
    </row>
    <row r="2" spans="1:4" x14ac:dyDescent="0.35">
      <c r="A2" s="39">
        <v>1957</v>
      </c>
      <c r="B2" s="18">
        <v>57</v>
      </c>
      <c r="C2" s="18">
        <v>16</v>
      </c>
      <c r="D2" s="19">
        <v>174</v>
      </c>
    </row>
    <row r="3" spans="1:4" x14ac:dyDescent="0.35">
      <c r="A3" s="41"/>
      <c r="B3" s="16">
        <v>59.8</v>
      </c>
      <c r="C3" s="16">
        <v>16</v>
      </c>
      <c r="D3" s="21">
        <v>166</v>
      </c>
    </row>
    <row r="4" spans="1:4" x14ac:dyDescent="0.35">
      <c r="A4" s="40"/>
      <c r="B4" s="17">
        <v>60</v>
      </c>
      <c r="C4" s="17">
        <v>20</v>
      </c>
      <c r="D4" s="20">
        <v>166</v>
      </c>
    </row>
    <row r="5" spans="1:4" x14ac:dyDescent="0.35">
      <c r="A5" s="31">
        <v>1958</v>
      </c>
      <c r="B5" s="16">
        <v>57.4</v>
      </c>
      <c r="C5" s="16">
        <v>16</v>
      </c>
      <c r="D5" s="16">
        <v>175</v>
      </c>
    </row>
    <row r="6" spans="1:4" x14ac:dyDescent="0.35">
      <c r="A6" s="32"/>
      <c r="B6" s="17">
        <v>60</v>
      </c>
      <c r="C6" s="17">
        <v>20</v>
      </c>
      <c r="D6" s="17">
        <v>167</v>
      </c>
    </row>
    <row r="7" spans="1:4" x14ac:dyDescent="0.35">
      <c r="A7" s="39">
        <v>1959</v>
      </c>
      <c r="B7" s="18">
        <v>57.8</v>
      </c>
      <c r="C7" s="18">
        <v>16</v>
      </c>
      <c r="D7" s="19">
        <v>175</v>
      </c>
    </row>
    <row r="8" spans="1:4" x14ac:dyDescent="0.35">
      <c r="A8" s="40"/>
      <c r="B8" s="17">
        <v>60</v>
      </c>
      <c r="C8" s="17">
        <v>20</v>
      </c>
      <c r="D8" s="20">
        <v>167</v>
      </c>
    </row>
    <row r="9" spans="1:4" x14ac:dyDescent="0.35">
      <c r="A9" s="38">
        <v>1960</v>
      </c>
      <c r="B9">
        <v>58</v>
      </c>
      <c r="C9">
        <v>16</v>
      </c>
      <c r="D9">
        <v>175</v>
      </c>
    </row>
    <row r="10" spans="1:4" x14ac:dyDescent="0.35">
      <c r="A10" s="38"/>
      <c r="B10">
        <v>60</v>
      </c>
      <c r="C10">
        <v>20</v>
      </c>
      <c r="D10">
        <v>167</v>
      </c>
    </row>
    <row r="11" spans="1:4" x14ac:dyDescent="0.35">
      <c r="A11" s="39">
        <v>1961</v>
      </c>
      <c r="B11" s="18">
        <v>58</v>
      </c>
      <c r="C11" s="18">
        <v>16</v>
      </c>
      <c r="D11" s="19">
        <v>176</v>
      </c>
    </row>
    <row r="12" spans="1:4" x14ac:dyDescent="0.35">
      <c r="A12" s="40"/>
      <c r="B12" s="17">
        <v>60</v>
      </c>
      <c r="C12" s="17">
        <v>20</v>
      </c>
      <c r="D12" s="20">
        <v>168</v>
      </c>
    </row>
    <row r="13" spans="1:4" x14ac:dyDescent="0.35">
      <c r="A13" s="38">
        <v>1962</v>
      </c>
      <c r="B13">
        <v>58</v>
      </c>
      <c r="C13">
        <v>16</v>
      </c>
      <c r="D13">
        <v>176</v>
      </c>
    </row>
    <row r="14" spans="1:4" x14ac:dyDescent="0.35">
      <c r="A14" s="38"/>
      <c r="B14">
        <v>60</v>
      </c>
      <c r="C14">
        <v>20</v>
      </c>
      <c r="D14">
        <v>168</v>
      </c>
    </row>
    <row r="15" spans="1:4" x14ac:dyDescent="0.35">
      <c r="A15" s="39">
        <v>1963</v>
      </c>
      <c r="B15" s="18">
        <v>58</v>
      </c>
      <c r="C15" s="18">
        <v>16</v>
      </c>
      <c r="D15" s="19">
        <v>176</v>
      </c>
    </row>
    <row r="16" spans="1:4" x14ac:dyDescent="0.35">
      <c r="A16" s="40"/>
      <c r="B16" s="17">
        <v>60</v>
      </c>
      <c r="C16" s="17">
        <v>20</v>
      </c>
      <c r="D16" s="20">
        <v>168</v>
      </c>
    </row>
  </sheetData>
  <mergeCells count="7">
    <mergeCell ref="A13:A14"/>
    <mergeCell ref="A15:A16"/>
    <mergeCell ref="A2:A4"/>
    <mergeCell ref="A5:A6"/>
    <mergeCell ref="A7:A8"/>
    <mergeCell ref="A9:A10"/>
    <mergeCell ref="A11:A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68"/>
  <sheetViews>
    <sheetView workbookViewId="0">
      <selection activeCell="M1" sqref="M1"/>
    </sheetView>
  </sheetViews>
  <sheetFormatPr baseColWidth="10" defaultRowHeight="14.5" x14ac:dyDescent="0.35"/>
  <cols>
    <col min="2" max="2" width="24.54296875" customWidth="1"/>
    <col min="5" max="5" width="24.453125" customWidth="1"/>
    <col min="7" max="7" width="28.1796875" customWidth="1"/>
    <col min="10" max="10" width="21.453125" customWidth="1"/>
    <col min="12" max="12" width="17.1796875" customWidth="1"/>
  </cols>
  <sheetData>
    <row r="1" spans="1:13" x14ac:dyDescent="0.35">
      <c r="A1" s="1" t="s">
        <v>18</v>
      </c>
      <c r="B1" s="8" t="s">
        <v>8</v>
      </c>
      <c r="C1" s="8" t="s">
        <v>9</v>
      </c>
      <c r="D1" s="8" t="s">
        <v>10</v>
      </c>
      <c r="E1" s="8" t="s">
        <v>11</v>
      </c>
      <c r="F1" s="8" t="s">
        <v>12</v>
      </c>
      <c r="G1" s="8" t="s">
        <v>13</v>
      </c>
      <c r="H1" s="8" t="s">
        <v>14</v>
      </c>
      <c r="I1" s="8" t="s">
        <v>15</v>
      </c>
      <c r="J1" s="8" t="s">
        <v>16</v>
      </c>
      <c r="K1" s="8" t="s">
        <v>17</v>
      </c>
      <c r="L1" s="29" t="s">
        <v>39</v>
      </c>
      <c r="M1" s="8" t="s">
        <v>41</v>
      </c>
    </row>
    <row r="2" spans="1:13" x14ac:dyDescent="0.35">
      <c r="A2">
        <v>62</v>
      </c>
      <c r="B2" s="3">
        <v>21376</v>
      </c>
      <c r="C2" t="s">
        <v>38</v>
      </c>
      <c r="D2">
        <v>1</v>
      </c>
      <c r="E2" t="s">
        <v>6</v>
      </c>
      <c r="F2" t="b">
        <v>0</v>
      </c>
      <c r="G2" t="b">
        <v>0</v>
      </c>
      <c r="H2">
        <v>12000</v>
      </c>
      <c r="I2">
        <v>175</v>
      </c>
      <c r="J2" s="3">
        <v>44127</v>
      </c>
      <c r="L2" s="3" t="b">
        <v>1</v>
      </c>
    </row>
    <row r="3" spans="1:13" x14ac:dyDescent="0.35">
      <c r="A3" s="28">
        <v>61</v>
      </c>
      <c r="B3" s="3">
        <v>21741</v>
      </c>
      <c r="C3" t="s">
        <v>37</v>
      </c>
      <c r="D3">
        <v>1</v>
      </c>
      <c r="E3" t="s">
        <v>7</v>
      </c>
      <c r="F3" t="b">
        <v>0</v>
      </c>
      <c r="G3" t="b">
        <v>0</v>
      </c>
      <c r="H3">
        <v>12000</v>
      </c>
      <c r="I3">
        <v>165</v>
      </c>
      <c r="J3" s="3">
        <v>44127</v>
      </c>
      <c r="L3" t="b">
        <v>1</v>
      </c>
    </row>
    <row r="4" spans="1:13" x14ac:dyDescent="0.35">
      <c r="A4">
        <v>60</v>
      </c>
      <c r="B4" s="3">
        <v>20821</v>
      </c>
      <c r="C4" t="s">
        <v>37</v>
      </c>
      <c r="D4">
        <v>1</v>
      </c>
      <c r="E4" t="s">
        <v>1</v>
      </c>
      <c r="F4" t="b">
        <v>0</v>
      </c>
      <c r="G4" t="b">
        <v>0</v>
      </c>
      <c r="H4">
        <v>12</v>
      </c>
      <c r="I4">
        <v>12</v>
      </c>
      <c r="J4" s="3">
        <v>42736</v>
      </c>
      <c r="L4" t="b">
        <v>1</v>
      </c>
    </row>
    <row r="5" spans="1:13" x14ac:dyDescent="0.35">
      <c r="A5">
        <v>60</v>
      </c>
      <c r="B5" s="3">
        <v>20821</v>
      </c>
      <c r="C5" t="s">
        <v>37</v>
      </c>
      <c r="D5">
        <v>1</v>
      </c>
      <c r="E5" t="s">
        <v>4</v>
      </c>
      <c r="F5" t="b">
        <v>0</v>
      </c>
      <c r="G5" t="b">
        <v>0</v>
      </c>
      <c r="H5">
        <v>12</v>
      </c>
      <c r="I5">
        <v>12</v>
      </c>
      <c r="J5" s="3">
        <v>42736</v>
      </c>
      <c r="L5" t="b">
        <v>1</v>
      </c>
    </row>
    <row r="6" spans="1:13" x14ac:dyDescent="0.35">
      <c r="A6">
        <v>62</v>
      </c>
      <c r="B6" s="3">
        <v>26665</v>
      </c>
      <c r="C6" t="s">
        <v>36</v>
      </c>
      <c r="D6">
        <v>1</v>
      </c>
      <c r="E6" t="s">
        <v>4</v>
      </c>
      <c r="F6" t="b">
        <v>0</v>
      </c>
      <c r="G6" t="b">
        <v>0</v>
      </c>
      <c r="H6">
        <v>10000</v>
      </c>
      <c r="I6">
        <v>172</v>
      </c>
      <c r="J6" s="3">
        <v>49310</v>
      </c>
      <c r="L6" t="b">
        <v>0</v>
      </c>
    </row>
    <row r="7" spans="1:13" x14ac:dyDescent="0.35">
      <c r="A7">
        <v>62</v>
      </c>
      <c r="B7" s="3">
        <v>26665</v>
      </c>
      <c r="C7" t="s">
        <v>40</v>
      </c>
      <c r="D7">
        <v>1</v>
      </c>
      <c r="E7" t="s">
        <v>6</v>
      </c>
      <c r="F7" t="b">
        <v>0</v>
      </c>
      <c r="G7" t="b">
        <v>0</v>
      </c>
      <c r="H7">
        <v>12000</v>
      </c>
      <c r="I7">
        <v>172</v>
      </c>
      <c r="J7" s="3">
        <v>49310</v>
      </c>
      <c r="L7" t="b">
        <v>0</v>
      </c>
    </row>
    <row r="8" spans="1:13" x14ac:dyDescent="0.35">
      <c r="A8">
        <v>62</v>
      </c>
      <c r="B8" s="3">
        <v>26938</v>
      </c>
      <c r="C8" t="s">
        <v>36</v>
      </c>
      <c r="D8">
        <v>1</v>
      </c>
      <c r="E8" t="s">
        <v>5</v>
      </c>
      <c r="F8" t="b">
        <v>0</v>
      </c>
      <c r="G8" t="b">
        <v>0</v>
      </c>
      <c r="H8">
        <v>12000</v>
      </c>
      <c r="I8">
        <v>171</v>
      </c>
      <c r="J8" s="3">
        <v>49310</v>
      </c>
      <c r="L8" t="b">
        <v>0</v>
      </c>
    </row>
    <row r="9" spans="1:13" x14ac:dyDescent="0.35">
      <c r="A9">
        <v>62</v>
      </c>
      <c r="B9" s="3">
        <v>26665</v>
      </c>
      <c r="C9" t="s">
        <v>36</v>
      </c>
      <c r="D9">
        <v>1</v>
      </c>
      <c r="E9" t="s">
        <v>6</v>
      </c>
      <c r="F9" t="b">
        <v>0</v>
      </c>
      <c r="G9" t="b">
        <v>0</v>
      </c>
      <c r="H9">
        <v>24000</v>
      </c>
      <c r="I9">
        <v>172</v>
      </c>
      <c r="J9" s="3">
        <v>49310</v>
      </c>
      <c r="L9" t="b">
        <v>0</v>
      </c>
    </row>
    <row r="10" spans="1:13" x14ac:dyDescent="0.35">
      <c r="A10">
        <v>62</v>
      </c>
      <c r="B10" s="3">
        <v>26665</v>
      </c>
      <c r="C10" t="s">
        <v>36</v>
      </c>
      <c r="D10">
        <v>1</v>
      </c>
      <c r="E10" t="s">
        <v>3</v>
      </c>
      <c r="F10" t="b">
        <v>0</v>
      </c>
      <c r="G10" t="b">
        <v>0</v>
      </c>
      <c r="H10">
        <v>24000</v>
      </c>
      <c r="I10">
        <v>172</v>
      </c>
      <c r="J10" s="3">
        <v>49583</v>
      </c>
      <c r="L10" t="b">
        <v>0</v>
      </c>
    </row>
    <row r="11" spans="1:13" x14ac:dyDescent="0.35">
      <c r="A11">
        <v>62</v>
      </c>
      <c r="B11" s="3">
        <v>26665</v>
      </c>
      <c r="C11" t="s">
        <v>37</v>
      </c>
      <c r="D11">
        <v>1</v>
      </c>
      <c r="E11" t="s">
        <v>6</v>
      </c>
      <c r="F11" t="b">
        <v>0</v>
      </c>
      <c r="G11" t="b">
        <v>0</v>
      </c>
      <c r="H11">
        <v>24000</v>
      </c>
      <c r="I11">
        <v>172</v>
      </c>
      <c r="J11" s="3">
        <v>49310</v>
      </c>
      <c r="L11" t="b">
        <v>0</v>
      </c>
    </row>
    <row r="12" spans="1:13" x14ac:dyDescent="0.35">
      <c r="A12">
        <v>63</v>
      </c>
      <c r="B12" s="3">
        <v>26665</v>
      </c>
      <c r="C12" t="s">
        <v>37</v>
      </c>
      <c r="D12">
        <v>1</v>
      </c>
      <c r="E12" t="s">
        <v>6</v>
      </c>
      <c r="F12" t="b">
        <v>0</v>
      </c>
      <c r="G12" t="b">
        <v>0</v>
      </c>
      <c r="H12">
        <v>24000</v>
      </c>
      <c r="I12">
        <v>173</v>
      </c>
      <c r="J12" s="3">
        <v>49675</v>
      </c>
      <c r="L12" t="b">
        <v>0</v>
      </c>
    </row>
    <row r="13" spans="1:13" x14ac:dyDescent="0.35">
      <c r="A13">
        <v>60</v>
      </c>
      <c r="B13" s="3">
        <v>21916</v>
      </c>
      <c r="C13" t="s">
        <v>36</v>
      </c>
      <c r="D13">
        <v>0</v>
      </c>
      <c r="E13" t="s">
        <v>5</v>
      </c>
      <c r="F13" t="b">
        <v>0</v>
      </c>
      <c r="G13" t="b">
        <v>0</v>
      </c>
      <c r="H13">
        <v>24000</v>
      </c>
      <c r="I13">
        <v>167</v>
      </c>
      <c r="J13" s="3">
        <v>43831</v>
      </c>
      <c r="L13" t="b">
        <v>1</v>
      </c>
      <c r="M13">
        <v>0</v>
      </c>
    </row>
    <row r="14" spans="1:13" x14ac:dyDescent="0.35">
      <c r="A14">
        <v>57</v>
      </c>
      <c r="B14" s="3">
        <v>23012</v>
      </c>
      <c r="C14" t="s">
        <v>36</v>
      </c>
      <c r="D14">
        <v>1</v>
      </c>
      <c r="E14" t="s">
        <v>7</v>
      </c>
      <c r="F14" t="b">
        <v>0</v>
      </c>
      <c r="G14" t="b">
        <v>0</v>
      </c>
      <c r="H14">
        <v>24000</v>
      </c>
      <c r="I14">
        <v>176</v>
      </c>
      <c r="J14" s="3">
        <v>43831</v>
      </c>
      <c r="L14" t="b">
        <v>1</v>
      </c>
      <c r="M14">
        <v>0</v>
      </c>
    </row>
    <row r="15" spans="1:13" x14ac:dyDescent="0.35">
      <c r="A15">
        <v>63</v>
      </c>
      <c r="B15" s="3">
        <v>23012</v>
      </c>
      <c r="C15" t="s">
        <v>36</v>
      </c>
      <c r="D15">
        <v>1</v>
      </c>
      <c r="E15" t="s">
        <v>6</v>
      </c>
      <c r="F15" t="b">
        <v>0</v>
      </c>
      <c r="G15" t="b">
        <v>0</v>
      </c>
      <c r="H15">
        <v>24000</v>
      </c>
      <c r="I15">
        <v>168</v>
      </c>
      <c r="J15" s="3">
        <v>46023</v>
      </c>
      <c r="L15" t="b">
        <v>1</v>
      </c>
      <c r="M15">
        <v>0</v>
      </c>
    </row>
    <row r="16" spans="1:13" x14ac:dyDescent="0.35">
      <c r="A16">
        <v>60</v>
      </c>
      <c r="B16" s="3">
        <v>21916</v>
      </c>
      <c r="C16" t="s">
        <v>36</v>
      </c>
      <c r="D16">
        <v>1</v>
      </c>
      <c r="E16" t="s">
        <v>7</v>
      </c>
      <c r="F16" t="b">
        <v>0</v>
      </c>
      <c r="G16" t="b">
        <v>0</v>
      </c>
      <c r="H16">
        <v>24000</v>
      </c>
      <c r="I16">
        <v>168</v>
      </c>
      <c r="J16" s="3">
        <v>43831</v>
      </c>
      <c r="L16" t="b">
        <v>1</v>
      </c>
      <c r="M16">
        <v>0</v>
      </c>
    </row>
    <row r="17" spans="1:13" x14ac:dyDescent="0.35">
      <c r="A17">
        <v>60</v>
      </c>
      <c r="B17" s="3">
        <v>21916</v>
      </c>
      <c r="C17" t="s">
        <v>37</v>
      </c>
      <c r="D17">
        <v>1</v>
      </c>
      <c r="E17" t="s">
        <v>7</v>
      </c>
      <c r="F17" t="b">
        <v>0</v>
      </c>
      <c r="G17" t="b">
        <v>0</v>
      </c>
      <c r="H17">
        <v>24000</v>
      </c>
      <c r="I17">
        <v>167</v>
      </c>
      <c r="J17" s="3">
        <v>43831</v>
      </c>
      <c r="L17" t="b">
        <v>1</v>
      </c>
      <c r="M17">
        <v>0</v>
      </c>
    </row>
    <row r="18" spans="1:13" x14ac:dyDescent="0.35">
      <c r="A18">
        <v>57</v>
      </c>
      <c r="B18" s="3">
        <v>23012</v>
      </c>
      <c r="C18" t="s">
        <v>37</v>
      </c>
      <c r="D18">
        <v>1</v>
      </c>
      <c r="E18" t="s">
        <v>6</v>
      </c>
      <c r="F18" t="b">
        <v>0</v>
      </c>
      <c r="G18" t="b">
        <v>0</v>
      </c>
      <c r="H18">
        <v>24000</v>
      </c>
      <c r="I18">
        <v>176</v>
      </c>
      <c r="J18" s="3">
        <v>43831</v>
      </c>
      <c r="L18" t="b">
        <v>1</v>
      </c>
      <c r="M18">
        <v>0</v>
      </c>
    </row>
    <row r="19" spans="1:13" x14ac:dyDescent="0.35">
      <c r="A19">
        <v>63</v>
      </c>
      <c r="B19" s="3">
        <v>23012</v>
      </c>
      <c r="C19" t="s">
        <v>38</v>
      </c>
      <c r="D19">
        <v>1</v>
      </c>
      <c r="E19" t="s">
        <v>7</v>
      </c>
      <c r="F19" t="b">
        <v>0</v>
      </c>
      <c r="G19" t="b">
        <v>0</v>
      </c>
      <c r="H19">
        <v>24000</v>
      </c>
      <c r="I19">
        <v>167</v>
      </c>
      <c r="J19" s="3">
        <v>46023</v>
      </c>
      <c r="L19" t="b">
        <v>1</v>
      </c>
      <c r="M19">
        <v>0</v>
      </c>
    </row>
    <row r="20" spans="1:13" x14ac:dyDescent="0.35">
      <c r="A20">
        <v>60</v>
      </c>
      <c r="B20" s="3">
        <v>21916</v>
      </c>
      <c r="D20">
        <v>1</v>
      </c>
      <c r="F20" t="b">
        <v>0</v>
      </c>
      <c r="G20" t="b">
        <v>0</v>
      </c>
      <c r="H20">
        <v>25000</v>
      </c>
      <c r="I20">
        <v>167</v>
      </c>
      <c r="J20" s="3">
        <v>44105</v>
      </c>
      <c r="L20" t="b">
        <v>1</v>
      </c>
      <c r="M20">
        <v>0</v>
      </c>
    </row>
    <row r="21" spans="1:13" x14ac:dyDescent="0.35">
      <c r="A21">
        <v>60</v>
      </c>
      <c r="B21" s="3">
        <v>21916</v>
      </c>
      <c r="C21" t="s">
        <v>37</v>
      </c>
      <c r="D21">
        <v>1</v>
      </c>
      <c r="E21" t="s">
        <v>6</v>
      </c>
      <c r="F21" t="b">
        <v>0</v>
      </c>
      <c r="G21" t="b">
        <v>0</v>
      </c>
      <c r="H21">
        <v>24000</v>
      </c>
      <c r="I21">
        <v>167</v>
      </c>
      <c r="J21" s="3">
        <v>43831</v>
      </c>
      <c r="L21" t="b">
        <v>1</v>
      </c>
      <c r="M21">
        <v>0</v>
      </c>
    </row>
    <row r="22" spans="1:13" x14ac:dyDescent="0.35">
      <c r="A22">
        <v>60</v>
      </c>
      <c r="B22" s="3">
        <v>22190</v>
      </c>
      <c r="D22">
        <v>1</v>
      </c>
      <c r="F22" t="b">
        <v>0</v>
      </c>
      <c r="G22" t="b">
        <v>0</v>
      </c>
      <c r="H22">
        <v>24000</v>
      </c>
      <c r="I22">
        <v>167</v>
      </c>
      <c r="J22" s="3">
        <v>43831</v>
      </c>
      <c r="L22" t="b">
        <v>1</v>
      </c>
      <c r="M22">
        <v>0</v>
      </c>
    </row>
    <row r="23" spans="1:13" x14ac:dyDescent="0.35">
      <c r="A23">
        <v>60</v>
      </c>
      <c r="B23" s="3">
        <v>21916</v>
      </c>
      <c r="D23">
        <v>1</v>
      </c>
      <c r="F23" t="b">
        <v>0</v>
      </c>
      <c r="G23" t="b">
        <v>0</v>
      </c>
      <c r="H23">
        <v>30000</v>
      </c>
      <c r="I23">
        <v>167</v>
      </c>
      <c r="J23" s="3">
        <v>44105</v>
      </c>
      <c r="L23" t="b">
        <v>1</v>
      </c>
      <c r="M23">
        <v>0</v>
      </c>
    </row>
    <row r="24" spans="1:13" x14ac:dyDescent="0.35">
      <c r="A24">
        <v>62</v>
      </c>
      <c r="B24" s="3">
        <v>26665</v>
      </c>
      <c r="D24">
        <v>1</v>
      </c>
      <c r="F24" t="b">
        <v>0</v>
      </c>
      <c r="G24" t="b">
        <v>0</v>
      </c>
      <c r="H24">
        <v>24000</v>
      </c>
      <c r="I24">
        <v>172</v>
      </c>
      <c r="J24" s="3">
        <v>49310</v>
      </c>
      <c r="L24" t="b">
        <v>0</v>
      </c>
      <c r="M24">
        <v>0</v>
      </c>
    </row>
    <row r="25" spans="1:13" x14ac:dyDescent="0.35">
      <c r="A25">
        <v>62</v>
      </c>
      <c r="B25" s="3">
        <v>26665</v>
      </c>
      <c r="D25">
        <v>1</v>
      </c>
      <c r="F25" t="b">
        <v>0</v>
      </c>
      <c r="G25" t="b">
        <v>0</v>
      </c>
      <c r="H25">
        <v>24000</v>
      </c>
      <c r="I25">
        <v>172</v>
      </c>
      <c r="J25" s="3">
        <v>49310</v>
      </c>
      <c r="L25" t="b">
        <v>0</v>
      </c>
      <c r="M25">
        <v>0</v>
      </c>
    </row>
    <row r="26" spans="1:13" x14ac:dyDescent="0.35">
      <c r="A26">
        <v>55</v>
      </c>
      <c r="B26" s="3">
        <v>20455</v>
      </c>
      <c r="C26" t="s">
        <v>36</v>
      </c>
      <c r="D26">
        <v>0</v>
      </c>
      <c r="E26" t="s">
        <v>6</v>
      </c>
      <c r="F26" t="b">
        <v>1</v>
      </c>
      <c r="G26" t="b">
        <v>0</v>
      </c>
      <c r="H26">
        <v>24000</v>
      </c>
      <c r="I26">
        <v>130</v>
      </c>
      <c r="J26" s="3">
        <v>40544</v>
      </c>
      <c r="L26" t="b">
        <v>0</v>
      </c>
      <c r="M26">
        <v>107</v>
      </c>
    </row>
    <row r="27" spans="1:13" x14ac:dyDescent="0.35">
      <c r="A27">
        <v>55</v>
      </c>
      <c r="B27" s="3">
        <v>20455</v>
      </c>
      <c r="C27" t="s">
        <v>37</v>
      </c>
      <c r="D27">
        <v>1</v>
      </c>
      <c r="E27" t="s">
        <v>7</v>
      </c>
      <c r="F27" t="b">
        <v>1</v>
      </c>
      <c r="G27" t="b">
        <v>0</v>
      </c>
      <c r="H27">
        <v>24000</v>
      </c>
      <c r="I27">
        <v>166</v>
      </c>
      <c r="J27" s="3">
        <v>40544</v>
      </c>
      <c r="L27" t="b">
        <v>0</v>
      </c>
      <c r="M27">
        <v>107</v>
      </c>
    </row>
    <row r="28" spans="1:13" x14ac:dyDescent="0.35">
      <c r="A28">
        <v>55</v>
      </c>
      <c r="B28" s="3">
        <v>20455</v>
      </c>
      <c r="D28">
        <v>1</v>
      </c>
      <c r="F28" t="b">
        <v>1</v>
      </c>
      <c r="G28" t="b">
        <v>0</v>
      </c>
      <c r="H28">
        <v>24000</v>
      </c>
      <c r="I28">
        <v>130</v>
      </c>
      <c r="J28" s="3">
        <v>40544</v>
      </c>
      <c r="L28" t="b">
        <v>0</v>
      </c>
      <c r="M28">
        <v>100</v>
      </c>
    </row>
    <row r="29" spans="1:13" x14ac:dyDescent="0.35">
      <c r="A29">
        <v>55</v>
      </c>
      <c r="B29" s="3">
        <v>20455</v>
      </c>
      <c r="D29">
        <v>1</v>
      </c>
      <c r="F29" t="b">
        <v>1</v>
      </c>
      <c r="G29" t="b">
        <v>0</v>
      </c>
      <c r="H29">
        <v>24000</v>
      </c>
      <c r="I29">
        <v>100</v>
      </c>
      <c r="J29" s="3">
        <v>40544</v>
      </c>
      <c r="L29" t="b">
        <v>0</v>
      </c>
      <c r="M29">
        <v>107</v>
      </c>
    </row>
    <row r="30" spans="1:13" x14ac:dyDescent="0.35">
      <c r="A30">
        <v>55</v>
      </c>
      <c r="B30" s="3">
        <v>20455</v>
      </c>
      <c r="D30">
        <v>1</v>
      </c>
      <c r="F30" t="b">
        <v>1</v>
      </c>
      <c r="G30" t="b">
        <v>0</v>
      </c>
      <c r="H30">
        <v>24000</v>
      </c>
      <c r="I30">
        <v>100</v>
      </c>
      <c r="J30" s="3">
        <v>40544</v>
      </c>
      <c r="L30" t="b">
        <v>0</v>
      </c>
      <c r="M30">
        <v>100</v>
      </c>
    </row>
    <row r="31" spans="1:13" x14ac:dyDescent="0.35">
      <c r="A31">
        <v>62</v>
      </c>
      <c r="B31" s="3">
        <v>26665</v>
      </c>
      <c r="D31">
        <v>3</v>
      </c>
      <c r="F31" t="b">
        <v>0</v>
      </c>
      <c r="G31" t="b">
        <v>0</v>
      </c>
      <c r="H31">
        <v>24000</v>
      </c>
      <c r="I31">
        <v>172</v>
      </c>
      <c r="J31" s="3">
        <v>49310</v>
      </c>
      <c r="L31" t="b">
        <v>0</v>
      </c>
      <c r="M31">
        <v>0</v>
      </c>
    </row>
    <row r="32" spans="1:13" x14ac:dyDescent="0.35">
      <c r="A32">
        <v>62</v>
      </c>
      <c r="B32" s="3">
        <v>26665</v>
      </c>
      <c r="D32">
        <v>3</v>
      </c>
      <c r="F32" t="b">
        <v>0</v>
      </c>
      <c r="G32" t="b">
        <v>0</v>
      </c>
      <c r="H32">
        <v>24000</v>
      </c>
      <c r="I32">
        <v>172</v>
      </c>
      <c r="J32" s="3">
        <v>49310</v>
      </c>
      <c r="L32" t="b">
        <v>0</v>
      </c>
      <c r="M32">
        <v>0</v>
      </c>
    </row>
    <row r="33" spans="1:13" x14ac:dyDescent="0.35">
      <c r="A33">
        <v>62</v>
      </c>
      <c r="B33" s="3">
        <v>26665</v>
      </c>
      <c r="D33">
        <v>3</v>
      </c>
      <c r="F33" t="b">
        <v>0</v>
      </c>
      <c r="G33" t="b">
        <v>0</v>
      </c>
      <c r="H33">
        <v>24000</v>
      </c>
      <c r="I33">
        <v>172</v>
      </c>
      <c r="J33" s="3">
        <v>49310</v>
      </c>
      <c r="L33" t="b">
        <v>0</v>
      </c>
      <c r="M33">
        <v>0</v>
      </c>
    </row>
    <row r="34" spans="1:13" x14ac:dyDescent="0.35">
      <c r="A34">
        <v>62</v>
      </c>
      <c r="B34" s="3">
        <v>26665</v>
      </c>
      <c r="D34">
        <v>1</v>
      </c>
      <c r="F34" t="b">
        <v>0</v>
      </c>
      <c r="G34" t="b">
        <v>0</v>
      </c>
      <c r="H34">
        <v>24000</v>
      </c>
      <c r="I34">
        <v>172</v>
      </c>
      <c r="J34" s="3">
        <v>49310</v>
      </c>
      <c r="L34" t="b">
        <v>0</v>
      </c>
      <c r="M34">
        <v>0</v>
      </c>
    </row>
    <row r="35" spans="1:13" x14ac:dyDescent="0.35">
      <c r="A35">
        <v>62</v>
      </c>
      <c r="B35" s="3">
        <v>26665</v>
      </c>
      <c r="D35">
        <v>3</v>
      </c>
      <c r="F35" t="b">
        <v>0</v>
      </c>
      <c r="G35" t="b">
        <v>0</v>
      </c>
      <c r="H35">
        <v>24000</v>
      </c>
      <c r="I35">
        <v>172</v>
      </c>
      <c r="J35" s="3">
        <v>49310</v>
      </c>
      <c r="L35" t="b">
        <v>0</v>
      </c>
      <c r="M35">
        <v>0</v>
      </c>
    </row>
    <row r="36" spans="1:13" x14ac:dyDescent="0.35">
      <c r="A36">
        <v>62</v>
      </c>
      <c r="B36" s="3">
        <v>26665</v>
      </c>
      <c r="D36">
        <v>1</v>
      </c>
      <c r="F36" t="b">
        <v>0</v>
      </c>
      <c r="G36" t="b">
        <v>0</v>
      </c>
      <c r="H36">
        <v>24000</v>
      </c>
      <c r="I36">
        <v>172</v>
      </c>
      <c r="J36" s="3">
        <v>49310</v>
      </c>
      <c r="L36" t="b">
        <v>0</v>
      </c>
      <c r="M36">
        <v>0</v>
      </c>
    </row>
    <row r="37" spans="1:13" x14ac:dyDescent="0.35">
      <c r="A37">
        <v>62</v>
      </c>
      <c r="B37" s="3">
        <v>26665</v>
      </c>
      <c r="D37">
        <v>3</v>
      </c>
      <c r="F37" t="b">
        <v>0</v>
      </c>
      <c r="G37" t="b">
        <v>0</v>
      </c>
      <c r="H37">
        <v>24000</v>
      </c>
      <c r="I37">
        <v>172</v>
      </c>
      <c r="J37" s="3">
        <v>49310</v>
      </c>
      <c r="L37" t="b">
        <v>0</v>
      </c>
      <c r="M37">
        <v>0</v>
      </c>
    </row>
    <row r="38" spans="1:13" x14ac:dyDescent="0.35">
      <c r="A38">
        <v>62</v>
      </c>
      <c r="B38" s="3">
        <v>26665</v>
      </c>
      <c r="D38">
        <v>1</v>
      </c>
      <c r="F38" t="b">
        <v>0</v>
      </c>
      <c r="G38" t="b">
        <v>0</v>
      </c>
      <c r="H38">
        <v>24000</v>
      </c>
      <c r="I38">
        <v>172</v>
      </c>
      <c r="J38" s="3">
        <v>49310</v>
      </c>
      <c r="L38" t="b">
        <v>0</v>
      </c>
      <c r="M38">
        <v>0</v>
      </c>
    </row>
    <row r="39" spans="1:13" x14ac:dyDescent="0.35">
      <c r="A39">
        <v>55</v>
      </c>
      <c r="B39" s="3">
        <v>20455</v>
      </c>
      <c r="D39">
        <v>1</v>
      </c>
      <c r="F39" t="b">
        <v>1</v>
      </c>
      <c r="G39" t="b">
        <v>0</v>
      </c>
      <c r="H39">
        <v>24000</v>
      </c>
      <c r="I39">
        <v>130</v>
      </c>
      <c r="J39" s="3">
        <v>40544</v>
      </c>
      <c r="L39" t="b">
        <v>0</v>
      </c>
      <c r="M39">
        <v>107</v>
      </c>
    </row>
    <row r="40" spans="1:13" x14ac:dyDescent="0.35">
      <c r="A40">
        <v>55</v>
      </c>
      <c r="B40" s="3">
        <v>20455</v>
      </c>
      <c r="D40">
        <v>1</v>
      </c>
      <c r="F40" t="b">
        <v>1</v>
      </c>
      <c r="G40" t="b">
        <v>0</v>
      </c>
      <c r="H40">
        <v>24000</v>
      </c>
      <c r="I40">
        <v>130</v>
      </c>
      <c r="J40" s="3">
        <v>40544</v>
      </c>
      <c r="L40" t="b">
        <v>0</v>
      </c>
      <c r="M40">
        <v>107</v>
      </c>
    </row>
    <row r="41" spans="1:13" x14ac:dyDescent="0.35">
      <c r="A41">
        <v>67</v>
      </c>
      <c r="B41" s="3">
        <v>26665</v>
      </c>
      <c r="C41" t="s">
        <v>36</v>
      </c>
      <c r="D41">
        <v>2</v>
      </c>
      <c r="E41" t="s">
        <v>5</v>
      </c>
      <c r="F41" t="b">
        <v>0</v>
      </c>
      <c r="G41" t="b">
        <v>0</v>
      </c>
      <c r="H41">
        <v>24000</v>
      </c>
      <c r="I41">
        <v>174</v>
      </c>
      <c r="J41" s="3">
        <v>51136</v>
      </c>
      <c r="L41" t="b">
        <v>0</v>
      </c>
      <c r="M41">
        <v>0</v>
      </c>
    </row>
    <row r="42" spans="1:13" x14ac:dyDescent="0.35">
      <c r="A42">
        <v>67</v>
      </c>
      <c r="B42" s="3">
        <v>26665</v>
      </c>
      <c r="C42" t="s">
        <v>36</v>
      </c>
      <c r="D42">
        <v>2</v>
      </c>
      <c r="E42" t="s">
        <v>7</v>
      </c>
      <c r="F42" t="b">
        <v>0</v>
      </c>
      <c r="G42" t="b">
        <v>0</v>
      </c>
      <c r="H42">
        <v>24000</v>
      </c>
      <c r="I42">
        <v>174</v>
      </c>
      <c r="J42" s="3">
        <v>51136</v>
      </c>
      <c r="L42" t="b">
        <v>0</v>
      </c>
      <c r="M42">
        <v>0</v>
      </c>
    </row>
    <row r="43" spans="1:13" x14ac:dyDescent="0.35">
      <c r="A43">
        <v>67</v>
      </c>
      <c r="B43" s="3">
        <v>26665</v>
      </c>
      <c r="C43" t="s">
        <v>36</v>
      </c>
      <c r="D43">
        <v>2</v>
      </c>
      <c r="E43" t="s">
        <v>5</v>
      </c>
      <c r="F43" t="b">
        <v>0</v>
      </c>
      <c r="G43" t="b">
        <v>0</v>
      </c>
      <c r="H43">
        <v>24000</v>
      </c>
      <c r="I43">
        <v>174</v>
      </c>
      <c r="J43" s="3">
        <v>51136</v>
      </c>
      <c r="L43" t="b">
        <v>0</v>
      </c>
      <c r="M43">
        <v>0</v>
      </c>
    </row>
    <row r="44" spans="1:13" x14ac:dyDescent="0.35">
      <c r="A44">
        <v>67</v>
      </c>
      <c r="B44" s="3">
        <v>26665</v>
      </c>
      <c r="C44" t="s">
        <v>36</v>
      </c>
      <c r="D44">
        <v>1</v>
      </c>
      <c r="E44" t="s">
        <v>4</v>
      </c>
      <c r="F44" t="b">
        <v>0</v>
      </c>
      <c r="G44" t="b">
        <v>0</v>
      </c>
      <c r="H44">
        <v>24000</v>
      </c>
      <c r="I44">
        <v>174</v>
      </c>
      <c r="J44" s="3">
        <v>51136</v>
      </c>
      <c r="L44" t="b">
        <v>0</v>
      </c>
      <c r="M44">
        <v>0</v>
      </c>
    </row>
    <row r="45" spans="1:13" x14ac:dyDescent="0.35">
      <c r="A45">
        <v>67</v>
      </c>
      <c r="B45" s="3">
        <v>26665</v>
      </c>
      <c r="C45" t="s">
        <v>37</v>
      </c>
      <c r="D45">
        <v>1</v>
      </c>
      <c r="E45" t="s">
        <v>5</v>
      </c>
      <c r="F45" t="b">
        <v>0</v>
      </c>
      <c r="G45" t="b">
        <v>0</v>
      </c>
      <c r="H45">
        <v>24000</v>
      </c>
      <c r="I45">
        <v>176</v>
      </c>
      <c r="J45" s="3">
        <v>51136</v>
      </c>
      <c r="L45" t="b">
        <v>0</v>
      </c>
      <c r="M45">
        <v>0</v>
      </c>
    </row>
    <row r="46" spans="1:13" x14ac:dyDescent="0.35">
      <c r="A46">
        <v>67</v>
      </c>
      <c r="B46" s="3">
        <v>26665</v>
      </c>
      <c r="C46" t="s">
        <v>36</v>
      </c>
      <c r="D46">
        <v>1</v>
      </c>
      <c r="E46" t="s">
        <v>7</v>
      </c>
      <c r="F46" t="b">
        <v>0</v>
      </c>
      <c r="G46" t="b">
        <v>0</v>
      </c>
      <c r="H46">
        <v>24000</v>
      </c>
      <c r="I46">
        <v>174</v>
      </c>
      <c r="J46" s="3">
        <v>51136</v>
      </c>
      <c r="L46" t="b">
        <v>0</v>
      </c>
      <c r="M46">
        <v>0</v>
      </c>
    </row>
    <row r="47" spans="1:13" x14ac:dyDescent="0.35">
      <c r="A47">
        <v>67</v>
      </c>
      <c r="B47" s="3">
        <v>26665</v>
      </c>
      <c r="C47" t="s">
        <v>37</v>
      </c>
      <c r="D47">
        <v>1</v>
      </c>
      <c r="E47" t="s">
        <v>3</v>
      </c>
      <c r="F47" t="b">
        <v>0</v>
      </c>
      <c r="G47" t="b">
        <v>0</v>
      </c>
      <c r="H47">
        <v>24000</v>
      </c>
      <c r="I47">
        <v>174</v>
      </c>
      <c r="J47" s="3">
        <v>51136</v>
      </c>
      <c r="L47" t="b">
        <v>0</v>
      </c>
      <c r="M47">
        <v>0</v>
      </c>
    </row>
    <row r="48" spans="1:13" x14ac:dyDescent="0.35">
      <c r="A48">
        <v>65</v>
      </c>
      <c r="B48" s="3">
        <v>26665</v>
      </c>
      <c r="C48" t="s">
        <v>36</v>
      </c>
      <c r="D48">
        <v>1</v>
      </c>
      <c r="E48" t="s">
        <v>7</v>
      </c>
      <c r="F48" t="b">
        <v>0</v>
      </c>
      <c r="G48" t="b">
        <v>0</v>
      </c>
      <c r="H48">
        <v>24000</v>
      </c>
      <c r="I48">
        <v>174</v>
      </c>
      <c r="J48" s="3">
        <v>50406</v>
      </c>
      <c r="L48" t="b">
        <v>0</v>
      </c>
      <c r="M48">
        <v>0</v>
      </c>
    </row>
    <row r="49" spans="1:13" x14ac:dyDescent="0.35">
      <c r="A49">
        <v>65</v>
      </c>
      <c r="B49" s="3">
        <v>26665</v>
      </c>
      <c r="C49" t="s">
        <v>38</v>
      </c>
      <c r="D49">
        <v>1</v>
      </c>
      <c r="E49" t="s">
        <v>5</v>
      </c>
      <c r="F49" t="b">
        <v>0</v>
      </c>
      <c r="G49" t="b">
        <v>0</v>
      </c>
      <c r="H49">
        <v>0</v>
      </c>
      <c r="I49">
        <v>174</v>
      </c>
      <c r="J49" s="3">
        <v>50406</v>
      </c>
      <c r="L49" t="b">
        <v>0</v>
      </c>
      <c r="M49">
        <v>0</v>
      </c>
    </row>
    <row r="50" spans="1:13" x14ac:dyDescent="0.35">
      <c r="A50">
        <v>65</v>
      </c>
      <c r="B50" s="3">
        <v>26665</v>
      </c>
      <c r="C50" t="s">
        <v>38</v>
      </c>
      <c r="D50">
        <v>1</v>
      </c>
      <c r="E50" t="s">
        <v>6</v>
      </c>
      <c r="F50" t="b">
        <v>0</v>
      </c>
      <c r="G50" t="b">
        <v>0</v>
      </c>
      <c r="H50">
        <v>24000</v>
      </c>
      <c r="I50">
        <v>174</v>
      </c>
      <c r="J50" s="3">
        <v>50406</v>
      </c>
      <c r="L50" t="b">
        <v>0</v>
      </c>
      <c r="M50">
        <v>0</v>
      </c>
    </row>
    <row r="51" spans="1:13" x14ac:dyDescent="0.35">
      <c r="A51">
        <v>62</v>
      </c>
      <c r="B51" s="3">
        <v>26665</v>
      </c>
      <c r="C51" t="s">
        <v>38</v>
      </c>
      <c r="D51">
        <v>1</v>
      </c>
      <c r="E51" t="s">
        <v>5</v>
      </c>
      <c r="F51" t="b">
        <v>0</v>
      </c>
      <c r="G51" t="b">
        <v>0</v>
      </c>
      <c r="H51">
        <v>24000</v>
      </c>
      <c r="I51">
        <v>174</v>
      </c>
      <c r="J51" s="3">
        <v>49310</v>
      </c>
      <c r="L51" t="b">
        <v>0</v>
      </c>
      <c r="M51">
        <v>0</v>
      </c>
    </row>
    <row r="52" spans="1:13" x14ac:dyDescent="0.35">
      <c r="A52">
        <v>75</v>
      </c>
      <c r="B52" s="3">
        <v>22107</v>
      </c>
      <c r="C52" t="s">
        <v>37</v>
      </c>
      <c r="D52">
        <v>0</v>
      </c>
      <c r="F52" t="b">
        <v>0</v>
      </c>
      <c r="G52" t="b">
        <v>0</v>
      </c>
      <c r="H52">
        <v>24000</v>
      </c>
      <c r="I52">
        <v>180</v>
      </c>
      <c r="J52" s="3">
        <v>49310</v>
      </c>
      <c r="L52" t="b">
        <v>0</v>
      </c>
      <c r="M52">
        <v>0</v>
      </c>
    </row>
    <row r="53" spans="1:13" x14ac:dyDescent="0.35">
      <c r="A53">
        <v>62</v>
      </c>
      <c r="B53" s="3">
        <v>26665</v>
      </c>
      <c r="D53">
        <v>1</v>
      </c>
      <c r="F53" t="b">
        <v>0</v>
      </c>
      <c r="G53" t="b">
        <v>0</v>
      </c>
      <c r="H53">
        <v>24000</v>
      </c>
      <c r="I53">
        <v>172</v>
      </c>
      <c r="J53" s="3">
        <v>49310</v>
      </c>
      <c r="L53" t="b">
        <v>0</v>
      </c>
      <c r="M53">
        <v>0</v>
      </c>
    </row>
    <row r="54" spans="1:13" x14ac:dyDescent="0.35">
      <c r="A54">
        <v>22</v>
      </c>
      <c r="B54" s="3">
        <v>35796</v>
      </c>
      <c r="C54" t="s">
        <v>38</v>
      </c>
      <c r="D54">
        <v>1</v>
      </c>
      <c r="E54" t="s">
        <v>6</v>
      </c>
      <c r="F54" t="b">
        <v>0</v>
      </c>
      <c r="G54" t="b">
        <v>0</v>
      </c>
      <c r="H54">
        <v>24000</v>
      </c>
      <c r="I54">
        <v>134</v>
      </c>
      <c r="J54" s="3">
        <v>43831</v>
      </c>
      <c r="L54" t="b">
        <v>0</v>
      </c>
      <c r="M54">
        <v>0</v>
      </c>
    </row>
    <row r="55" spans="1:13" x14ac:dyDescent="0.35">
      <c r="A55">
        <v>70</v>
      </c>
      <c r="B55" s="3">
        <v>21916</v>
      </c>
      <c r="C55" t="s">
        <v>38</v>
      </c>
      <c r="D55">
        <v>1</v>
      </c>
      <c r="E55" t="s">
        <v>6</v>
      </c>
      <c r="F55" t="b">
        <v>0</v>
      </c>
      <c r="G55" t="b">
        <v>0</v>
      </c>
      <c r="H55">
        <v>24000</v>
      </c>
      <c r="I55">
        <v>180</v>
      </c>
      <c r="J55" s="3">
        <v>47484</v>
      </c>
      <c r="L55" t="b">
        <v>0</v>
      </c>
      <c r="M55">
        <v>0</v>
      </c>
    </row>
    <row r="56" spans="1:13" x14ac:dyDescent="0.35">
      <c r="A56">
        <v>62</v>
      </c>
      <c r="B56" s="3">
        <v>26665</v>
      </c>
      <c r="C56" t="s">
        <v>37</v>
      </c>
      <c r="D56">
        <v>3</v>
      </c>
      <c r="E56" t="s">
        <v>6</v>
      </c>
      <c r="F56" t="b">
        <v>0</v>
      </c>
      <c r="G56" t="b">
        <v>0</v>
      </c>
      <c r="H56">
        <v>172</v>
      </c>
      <c r="I56">
        <v>24000</v>
      </c>
      <c r="J56" s="3">
        <v>49310</v>
      </c>
      <c r="L56" t="b">
        <v>0</v>
      </c>
      <c r="M56">
        <v>0</v>
      </c>
    </row>
    <row r="57" spans="1:13" x14ac:dyDescent="0.35">
      <c r="A57">
        <v>62</v>
      </c>
      <c r="B57" s="3">
        <v>26665</v>
      </c>
      <c r="C57" t="s">
        <v>37</v>
      </c>
      <c r="D57">
        <v>3</v>
      </c>
      <c r="E57" t="s">
        <v>6</v>
      </c>
      <c r="F57" t="b">
        <v>0</v>
      </c>
      <c r="G57" t="b">
        <v>0</v>
      </c>
      <c r="H57">
        <v>24000</v>
      </c>
      <c r="I57">
        <v>172</v>
      </c>
      <c r="J57" s="3">
        <v>49310</v>
      </c>
      <c r="L57" t="b">
        <v>0</v>
      </c>
      <c r="M57">
        <v>0</v>
      </c>
    </row>
    <row r="58" spans="1:13" x14ac:dyDescent="0.35">
      <c r="A58">
        <v>62</v>
      </c>
      <c r="B58" s="3">
        <v>26665</v>
      </c>
      <c r="C58" t="s">
        <v>38</v>
      </c>
      <c r="D58">
        <v>4</v>
      </c>
      <c r="E58" t="s">
        <v>6</v>
      </c>
      <c r="F58" t="b">
        <v>0</v>
      </c>
      <c r="G58" t="b">
        <v>0</v>
      </c>
      <c r="H58">
        <v>24000</v>
      </c>
      <c r="I58">
        <v>172</v>
      </c>
      <c r="J58" s="3">
        <v>49310</v>
      </c>
      <c r="L58" t="b">
        <v>0</v>
      </c>
      <c r="M58">
        <v>0</v>
      </c>
    </row>
    <row r="59" spans="1:13" x14ac:dyDescent="0.35">
      <c r="A59">
        <v>75</v>
      </c>
      <c r="B59" s="3">
        <v>22107</v>
      </c>
      <c r="C59" t="s">
        <v>37</v>
      </c>
      <c r="D59">
        <v>1</v>
      </c>
      <c r="E59" t="s">
        <v>6</v>
      </c>
      <c r="F59" t="b">
        <v>0</v>
      </c>
      <c r="G59" t="b">
        <v>0</v>
      </c>
      <c r="H59">
        <v>24000</v>
      </c>
      <c r="I59">
        <v>170</v>
      </c>
      <c r="J59" s="3">
        <v>49592</v>
      </c>
      <c r="L59" t="b">
        <v>0</v>
      </c>
      <c r="M59">
        <v>0</v>
      </c>
    </row>
    <row r="60" spans="1:13" x14ac:dyDescent="0.35">
      <c r="A60">
        <v>62</v>
      </c>
      <c r="B60" s="3">
        <v>26665</v>
      </c>
      <c r="C60" t="s">
        <v>38</v>
      </c>
      <c r="D60">
        <v>2</v>
      </c>
      <c r="E60" t="s">
        <v>6</v>
      </c>
      <c r="F60" t="b">
        <v>0</v>
      </c>
      <c r="G60" t="b">
        <v>0</v>
      </c>
      <c r="H60">
        <v>24000</v>
      </c>
      <c r="I60">
        <v>170</v>
      </c>
      <c r="J60" s="3">
        <v>49310</v>
      </c>
      <c r="L60" t="b">
        <v>0</v>
      </c>
      <c r="M60">
        <v>0</v>
      </c>
    </row>
    <row r="61" spans="1:13" x14ac:dyDescent="0.35">
      <c r="A61">
        <v>60</v>
      </c>
      <c r="B61" s="3">
        <v>21916</v>
      </c>
      <c r="C61" t="s">
        <v>37</v>
      </c>
      <c r="D61">
        <v>3</v>
      </c>
      <c r="E61" t="s">
        <v>6</v>
      </c>
      <c r="F61" t="b">
        <v>0</v>
      </c>
      <c r="G61" t="b">
        <v>0</v>
      </c>
      <c r="H61">
        <v>24000</v>
      </c>
      <c r="I61">
        <v>167</v>
      </c>
      <c r="J61" s="3">
        <v>43831</v>
      </c>
      <c r="L61" t="b">
        <v>1</v>
      </c>
      <c r="M61">
        <v>0</v>
      </c>
    </row>
    <row r="62" spans="1:13" x14ac:dyDescent="0.35">
      <c r="A62">
        <v>60</v>
      </c>
      <c r="B62" s="3">
        <v>22199</v>
      </c>
      <c r="C62" t="s">
        <v>37</v>
      </c>
      <c r="D62">
        <v>2</v>
      </c>
      <c r="E62" t="s">
        <v>6</v>
      </c>
      <c r="F62" t="b">
        <v>0</v>
      </c>
      <c r="G62" t="b">
        <v>0</v>
      </c>
      <c r="H62">
        <v>24000</v>
      </c>
      <c r="I62">
        <v>166</v>
      </c>
      <c r="J62" s="3">
        <v>44136</v>
      </c>
      <c r="L62" t="b">
        <v>1</v>
      </c>
      <c r="M62">
        <v>0</v>
      </c>
    </row>
    <row r="63" spans="1:13" x14ac:dyDescent="0.35">
      <c r="A63">
        <v>60</v>
      </c>
      <c r="B63" s="3">
        <v>21916</v>
      </c>
      <c r="C63" t="s">
        <v>36</v>
      </c>
      <c r="D63">
        <v>2</v>
      </c>
      <c r="E63" t="s">
        <v>6</v>
      </c>
      <c r="F63" t="b">
        <v>0</v>
      </c>
      <c r="G63" t="b">
        <v>0</v>
      </c>
      <c r="H63">
        <v>24000</v>
      </c>
      <c r="I63">
        <v>167</v>
      </c>
      <c r="J63" s="3">
        <v>43831</v>
      </c>
      <c r="L63" t="b">
        <v>1</v>
      </c>
      <c r="M63">
        <v>0</v>
      </c>
    </row>
    <row r="64" spans="1:13" x14ac:dyDescent="0.35">
      <c r="A64">
        <v>60</v>
      </c>
      <c r="B64" s="3">
        <v>21916</v>
      </c>
      <c r="C64" t="s">
        <v>36</v>
      </c>
      <c r="D64">
        <v>3</v>
      </c>
      <c r="E64" t="s">
        <v>6</v>
      </c>
      <c r="F64" t="b">
        <v>0</v>
      </c>
      <c r="G64" t="b">
        <v>0</v>
      </c>
      <c r="H64">
        <v>24000</v>
      </c>
      <c r="I64">
        <v>167</v>
      </c>
      <c r="J64" s="3">
        <v>43831</v>
      </c>
      <c r="L64" t="b">
        <v>1</v>
      </c>
      <c r="M64">
        <v>0</v>
      </c>
    </row>
    <row r="65" spans="1:13" x14ac:dyDescent="0.35">
      <c r="A65">
        <v>62</v>
      </c>
      <c r="B65" s="3">
        <v>21371</v>
      </c>
      <c r="C65" t="s">
        <v>37</v>
      </c>
      <c r="D65">
        <v>3</v>
      </c>
      <c r="E65" t="s">
        <v>6</v>
      </c>
      <c r="F65" t="b">
        <v>0</v>
      </c>
      <c r="G65" t="b">
        <v>0</v>
      </c>
      <c r="H65">
        <v>20000</v>
      </c>
      <c r="I65">
        <v>165</v>
      </c>
      <c r="J65" s="3">
        <v>43831</v>
      </c>
      <c r="L65" t="b">
        <v>0</v>
      </c>
      <c r="M65">
        <v>0</v>
      </c>
    </row>
    <row r="66" spans="1:13" x14ac:dyDescent="0.35">
      <c r="A66">
        <v>64</v>
      </c>
      <c r="B66" s="3">
        <v>20455</v>
      </c>
      <c r="C66" t="s">
        <v>37</v>
      </c>
      <c r="D66">
        <v>3</v>
      </c>
      <c r="E66" t="s">
        <v>6</v>
      </c>
      <c r="F66" t="b">
        <v>0</v>
      </c>
      <c r="G66" t="b">
        <v>0</v>
      </c>
      <c r="H66">
        <v>24000</v>
      </c>
      <c r="I66">
        <v>166</v>
      </c>
      <c r="J66" s="3">
        <v>44166</v>
      </c>
      <c r="L66" t="b">
        <v>0</v>
      </c>
      <c r="M66">
        <v>0</v>
      </c>
    </row>
    <row r="67" spans="1:13" x14ac:dyDescent="0.35">
      <c r="A67">
        <v>57</v>
      </c>
      <c r="B67" s="3">
        <v>23071</v>
      </c>
      <c r="C67" t="s">
        <v>36</v>
      </c>
      <c r="D67">
        <v>2</v>
      </c>
      <c r="E67" t="s">
        <v>6</v>
      </c>
      <c r="F67" t="b">
        <v>1</v>
      </c>
      <c r="G67" t="b">
        <v>0</v>
      </c>
      <c r="H67">
        <v>24000</v>
      </c>
      <c r="I67">
        <v>110</v>
      </c>
      <c r="J67" s="3">
        <v>43897</v>
      </c>
      <c r="L67" t="b">
        <v>0</v>
      </c>
      <c r="M67">
        <v>90</v>
      </c>
    </row>
    <row r="68" spans="1:13" x14ac:dyDescent="0.35">
      <c r="A68">
        <v>47</v>
      </c>
      <c r="B68" s="3">
        <v>26665</v>
      </c>
      <c r="C68" t="s">
        <v>36</v>
      </c>
      <c r="D68">
        <v>2</v>
      </c>
      <c r="E68" t="s">
        <v>6</v>
      </c>
      <c r="F68" t="b">
        <v>0</v>
      </c>
      <c r="G68" t="b">
        <v>0</v>
      </c>
      <c r="H68">
        <v>24000</v>
      </c>
      <c r="I68">
        <v>167</v>
      </c>
      <c r="J68" s="3">
        <v>43831</v>
      </c>
      <c r="L68" t="b">
        <v>0</v>
      </c>
      <c r="M68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Formulaire</vt:lpstr>
      <vt:lpstr>Données</vt:lpstr>
      <vt:lpstr>Taux_pleins_sans_conditions</vt:lpstr>
      <vt:lpstr>Taux_pleins_handicap</vt:lpstr>
      <vt:lpstr>Taux_pleins_carriere_longue</vt:lpstr>
      <vt:lpstr>Retraités</vt:lpstr>
    </vt:vector>
  </TitlesOfParts>
  <Company>SopraSteria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FARAH Amina</dc:creator>
  <cp:lastModifiedBy>FARAH Amina</cp:lastModifiedBy>
  <dcterms:created xsi:type="dcterms:W3CDTF">2020-10-21T14:44:56Z</dcterms:created>
  <dcterms:modified xsi:type="dcterms:W3CDTF">2020-11-12T20:49:59Z</dcterms:modified>
</cp:coreProperties>
</file>